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utka\MT\AdOpT-NET0\CCS\export\"/>
    </mc:Choice>
  </mc:AlternateContent>
  <xr:revisionPtr revIDLastSave="0" documentId="13_ncr:1_{C149DCE0-5283-4704-AEBF-D439E6B6C0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23" i="1"/>
  <c r="I3" i="1"/>
  <c r="I28" i="1"/>
  <c r="I29" i="1"/>
  <c r="I35" i="1"/>
  <c r="I20" i="1"/>
  <c r="I34" i="1"/>
  <c r="I25" i="1"/>
  <c r="I36" i="1"/>
  <c r="I37" i="1"/>
  <c r="I27" i="1"/>
  <c r="I24" i="1"/>
  <c r="I10" i="1"/>
  <c r="I42" i="1"/>
  <c r="I41" i="1"/>
  <c r="I18" i="1"/>
  <c r="I19" i="1"/>
  <c r="I39" i="1"/>
  <c r="I2" i="1"/>
  <c r="I6" i="1"/>
  <c r="I38" i="1"/>
  <c r="I5" i="1"/>
  <c r="I4" i="1"/>
  <c r="I33" i="1"/>
  <c r="I9" i="1"/>
  <c r="I7" i="1"/>
  <c r="I8" i="1"/>
  <c r="I13" i="1"/>
  <c r="I21" i="1"/>
  <c r="I12" i="1"/>
  <c r="I30" i="1"/>
  <c r="I31" i="1"/>
  <c r="I11" i="1"/>
  <c r="I17" i="1"/>
  <c r="I22" i="1"/>
  <c r="I15" i="1"/>
  <c r="I14" i="1"/>
  <c r="I16" i="1"/>
  <c r="I26" i="1"/>
  <c r="I40" i="1"/>
</calcChain>
</file>

<file path=xl/sharedStrings.xml><?xml version="1.0" encoding="utf-8"?>
<sst xmlns="http://schemas.openxmlformats.org/spreadsheetml/2006/main" count="91" uniqueCount="89">
  <si>
    <t>CT_Latitude</t>
  </si>
  <si>
    <t>CT_Longitude</t>
  </si>
  <si>
    <t>CT_Year</t>
  </si>
  <si>
    <t>EEA_Year</t>
  </si>
  <si>
    <t>CT_Source</t>
  </si>
  <si>
    <t>CT_Emissions_tCO2</t>
  </si>
  <si>
    <t>EEA_Source</t>
  </si>
  <si>
    <t>EEA_Emissions_tCO2</t>
  </si>
  <si>
    <t>Vasilikos power station</t>
  </si>
  <si>
    <t>Electricity Authority of Cyprus, Vassilikos Power Station</t>
  </si>
  <si>
    <t>DHEKELIA</t>
  </si>
  <si>
    <t>Electricity Authority of Cyprus, Dhekelia Power Station</t>
  </si>
  <si>
    <t>Campo de Gibraltar power station</t>
  </si>
  <si>
    <t>CCC CAMPO DE GIBRALTAR GRUPO 10</t>
  </si>
  <si>
    <t>REFINERÍA GIBRALTAR</t>
  </si>
  <si>
    <t>CEPSA Gibraltar-San Roque Refinery</t>
  </si>
  <si>
    <t>ISAB Lukoil Oil Refinery</t>
  </si>
  <si>
    <t>Raffineria ISAB Impianti SUD</t>
  </si>
  <si>
    <t>Augusta Oil Refinery</t>
  </si>
  <si>
    <t>Sonatrach Raffineria Italiana-Raffineria di Augusta</t>
  </si>
  <si>
    <t>Megalopoli power station</t>
  </si>
  <si>
    <t>PPC S.A. SES MEGALOPOLIS, UNIT V</t>
  </si>
  <si>
    <t>Motor Oil Hellas Corinth Refinery</t>
  </si>
  <si>
    <t>MOTOR OIL HELLLAS-CORINTH REFINERIES S.A.</t>
  </si>
  <si>
    <t>TERMINI IMERESE</t>
  </si>
  <si>
    <t>Power Plant South - Impianto di Termini Imerese - Centrale Ettore Majorana</t>
  </si>
  <si>
    <t>Hellenic Petroleum Aspropyrgos Refinery</t>
  </si>
  <si>
    <t>HELLENIC PETROLEUM R.S.S.O.P.P. S.A. –SOUTH REFINERIES COMPLEX – ELEFSIS INDUSTRIAL FACILITIES</t>
  </si>
  <si>
    <t>ENI/Kuwait Petroleum Milazzo Oil Refinery</t>
  </si>
  <si>
    <t>Raffineria di Milazzo S.C.p.A.</t>
  </si>
  <si>
    <t>Repsol Puertollano Refinery</t>
  </si>
  <si>
    <t>REPSOL PETROLEO S.A.</t>
  </si>
  <si>
    <t>BP Castellon Refinery</t>
  </si>
  <si>
    <t>BP ENERGÍA ESPAÑA, S.A.</t>
  </si>
  <si>
    <t>AGIOS NIKOLAOS POWER</t>
  </si>
  <si>
    <t>METLEN ENERGY &amp; METALS S.A. (PROTERGIA POWER PLANT)</t>
  </si>
  <si>
    <t>Saras SPA Sarroch Oil Refinery</t>
  </si>
  <si>
    <t>Sarlux srl</t>
  </si>
  <si>
    <t>SARLUX</t>
  </si>
  <si>
    <t>Agria Cement Plant</t>
  </si>
  <si>
    <t>HERACLES G.C.Co, VOLOS PLANT</t>
  </si>
  <si>
    <t>ALTOMONTE</t>
  </si>
  <si>
    <t>CENTRALE TERMOELETTRICA DI ALTOMONTE</t>
  </si>
  <si>
    <t>Agios Dimitrios power station</t>
  </si>
  <si>
    <t>PPC S.A. SES AGIOY DHMHTRIOY</t>
  </si>
  <si>
    <t>Acciaierie d'Italia Taranto steel plant</t>
  </si>
  <si>
    <t>RAFFINERIA DI TARANTO</t>
  </si>
  <si>
    <t>NAPOLI LEVANTE</t>
  </si>
  <si>
    <t>CENTRALE NAPOLI LEVANTE</t>
  </si>
  <si>
    <t>FIUME SANTO</t>
  </si>
  <si>
    <t>Centrale Fiume Santo</t>
  </si>
  <si>
    <t>MODUGNO SORGENIA</t>
  </si>
  <si>
    <t>CENTRALE A CICLO COMBINATO DI MODUGNO</t>
  </si>
  <si>
    <t>TERMOLI ENERGIA</t>
  </si>
  <si>
    <t>CENTRALE A CICLO COMBINATO DI TERMOLI</t>
  </si>
  <si>
    <t>Repsol Tarragona Refinery</t>
  </si>
  <si>
    <t>REPSOL REFINERIA TARRAGONA</t>
  </si>
  <si>
    <t>Escatrón 3 power station</t>
  </si>
  <si>
    <t>CENTRAL DE ESCATRON</t>
  </si>
  <si>
    <t>BESOS</t>
  </si>
  <si>
    <t>PLANTA DE VALORITZACIO ENERGETICA DE SANT ADRIA DE BESOS</t>
  </si>
  <si>
    <t>RHONE ENERGIES FOS-SUR-MER SAS</t>
  </si>
  <si>
    <t>ArcelorMittal Méditerranée Fos sur Mer steel plant</t>
  </si>
  <si>
    <t>ExxonMobil Fos-sur-Mer Refinery</t>
  </si>
  <si>
    <t>SEF FERRARA</t>
  </si>
  <si>
    <t>S.E.F. S.R.L. SOCIETA' ENIPOWER FERRARA S.R.L.</t>
  </si>
  <si>
    <t>SERMIDE</t>
  </si>
  <si>
    <t>A2A GENCOGAS - CENTRALE TERMOELETTRICA SERMIDE</t>
  </si>
  <si>
    <t>ENI Sannazzaro de Burgondi Oil Refinery</t>
  </si>
  <si>
    <t>RAFFINERIA DI SANNAZZARO DE' BURGONDI</t>
  </si>
  <si>
    <t>MANTOVA ENIPOWER</t>
  </si>
  <si>
    <t>EniPower Mantova S.p.A.</t>
  </si>
  <si>
    <t>BERTONICO-TURANO</t>
  </si>
  <si>
    <t>CENTRALE A CICLO COMBINATO DI TURANO LODIGIANO E BERTONICO</t>
  </si>
  <si>
    <t>SARPOM Trecate Oil Refinery</t>
  </si>
  <si>
    <t>RAFFINERIA SARPOM DI TRECATE</t>
  </si>
  <si>
    <t>IREN ENERGIA S.P.A. - Turbigo</t>
  </si>
  <si>
    <t>MONCALIERI</t>
  </si>
  <si>
    <t>CENTRALE TERMOELETTRICA DI COGENERAZIONE DI MONCALIERI</t>
  </si>
  <si>
    <t>LEINI</t>
  </si>
  <si>
    <t>CENTRALE DI LEINI'</t>
  </si>
  <si>
    <t>MARGHERA LEVANTE</t>
  </si>
  <si>
    <t>CENTRALE TERMOELETTRICA DI MARGHERA LEVANTE</t>
  </si>
  <si>
    <t>TURBIGO</t>
  </si>
  <si>
    <t>TORVISCOSA</t>
  </si>
  <si>
    <t>CENTRALE TERMOELETTRICA DI TORVISCOSA</t>
  </si>
  <si>
    <t>Sostanj power station</t>
  </si>
  <si>
    <t>Termoelektrarna Šoštanj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</si>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</sst>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2" fillId="2" borderId="0" xfId="0" applyFont="1" applyFill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85" zoomScaleNormal="85" workbookViewId="0">
      <selection activeCell="H35" sqref="H35"/>
    </sheetView>
  </sheetViews>
  <sheetFormatPr defaultRowHeight="14.5" x14ac:dyDescent="0.35"/>
  <cols>
    <col min="1" max="2" width="12.7265625" bestFit="1" customWidth="1"/>
    <col min="3" max="3" width="7.81640625" bestFit="1" customWidth="1"/>
    <col min="4" max="4" width="9" bestFit="1" customWidth="1"/>
    <col min="5" max="5" width="44" customWidth="1"/>
    <col min="6" max="6" width="66.81640625" customWidth="1"/>
    <col min="7" max="7" width="17.36328125" bestFit="1" customWidth="1"/>
    <col min="8" max="8" width="18.54296875" bestFit="1" customWidth="1"/>
    <col min="9" max="9" width="12.5429687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  <c r="I1" s="2" t="s">
        <v>88</v>
      </c>
    </row>
    <row r="2" spans="1:9" x14ac:dyDescent="0.35">
      <c r="A2">
        <v>40.507453203208399</v>
      </c>
      <c r="B2">
        <v>17.209591095248999</v>
      </c>
      <c r="C2">
        <v>2025</v>
      </c>
      <c r="D2">
        <v>2023</v>
      </c>
      <c r="E2" t="s">
        <v>45</v>
      </c>
      <c r="F2" t="s">
        <v>46</v>
      </c>
      <c r="G2" s="1">
        <v>1027402.899654605</v>
      </c>
      <c r="H2" s="1">
        <v>961834.66</v>
      </c>
      <c r="I2" s="1">
        <f>H2-G2</f>
        <v>-65568.239654604928</v>
      </c>
    </row>
    <row r="3" spans="1:9" x14ac:dyDescent="0.35">
      <c r="A3">
        <v>36.183399999999999</v>
      </c>
      <c r="B3">
        <v>-5.3933</v>
      </c>
      <c r="C3">
        <v>2025</v>
      </c>
      <c r="D3">
        <v>2024</v>
      </c>
      <c r="E3" t="s">
        <v>12</v>
      </c>
      <c r="F3" t="s">
        <v>13</v>
      </c>
      <c r="G3" s="1">
        <v>103400</v>
      </c>
      <c r="H3" s="1">
        <v>159000</v>
      </c>
      <c r="I3" s="1">
        <f>H3-G3</f>
        <v>55600</v>
      </c>
    </row>
    <row r="4" spans="1:9" x14ac:dyDescent="0.35">
      <c r="A4">
        <v>41.936900000000001</v>
      </c>
      <c r="B4">
        <v>15.000400000000001</v>
      </c>
      <c r="C4">
        <v>2025</v>
      </c>
      <c r="D4">
        <v>2023</v>
      </c>
      <c r="E4" t="s">
        <v>53</v>
      </c>
      <c r="F4" t="s">
        <v>54</v>
      </c>
      <c r="G4" s="1">
        <v>112900</v>
      </c>
      <c r="H4" s="1">
        <v>174340.7856</v>
      </c>
      <c r="I4" s="1">
        <f>H4-G4</f>
        <v>61440.785600000003</v>
      </c>
    </row>
    <row r="5" spans="1:9" x14ac:dyDescent="0.35">
      <c r="A5">
        <v>41.102499999999999</v>
      </c>
      <c r="B5">
        <v>16.756</v>
      </c>
      <c r="C5">
        <v>2025</v>
      </c>
      <c r="D5">
        <v>2023</v>
      </c>
      <c r="E5" t="s">
        <v>51</v>
      </c>
      <c r="F5" t="s">
        <v>52</v>
      </c>
      <c r="G5" s="1">
        <v>129500</v>
      </c>
      <c r="H5" s="1">
        <v>191008.60680000001</v>
      </c>
      <c r="I5" s="1">
        <f>H5-G5</f>
        <v>61508.606800000009</v>
      </c>
    </row>
    <row r="6" spans="1:9" x14ac:dyDescent="0.35">
      <c r="A6">
        <v>40.8339</v>
      </c>
      <c r="B6">
        <v>14.300599999999999</v>
      </c>
      <c r="C6">
        <v>2025</v>
      </c>
      <c r="D6">
        <v>2023</v>
      </c>
      <c r="E6" t="s">
        <v>47</v>
      </c>
      <c r="F6" t="s">
        <v>48</v>
      </c>
      <c r="G6" s="1">
        <v>104400</v>
      </c>
      <c r="H6" s="1">
        <v>243867.4479</v>
      </c>
      <c r="I6" s="1">
        <f>H6-G6</f>
        <v>139467.4479</v>
      </c>
    </row>
    <row r="7" spans="1:9" x14ac:dyDescent="0.35">
      <c r="A7">
        <v>41.418500000000002</v>
      </c>
      <c r="B7">
        <v>2.2286000000000001</v>
      </c>
      <c r="C7">
        <v>2025</v>
      </c>
      <c r="D7">
        <v>2024</v>
      </c>
      <c r="E7" t="s">
        <v>59</v>
      </c>
      <c r="F7" t="s">
        <v>60</v>
      </c>
      <c r="G7" s="1">
        <v>168000</v>
      </c>
      <c r="H7" s="1">
        <v>323000</v>
      </c>
      <c r="I7" s="1">
        <f>H7-G7</f>
        <v>155000</v>
      </c>
    </row>
    <row r="8" spans="1:9" x14ac:dyDescent="0.35">
      <c r="A8">
        <v>43.437543093766699</v>
      </c>
      <c r="B8">
        <v>4.8901339898248004</v>
      </c>
      <c r="C8">
        <v>2025</v>
      </c>
      <c r="D8">
        <v>2024</v>
      </c>
      <c r="E8" t="s">
        <v>62</v>
      </c>
      <c r="F8" t="s">
        <v>61</v>
      </c>
      <c r="G8" s="1">
        <v>441077.5937593102</v>
      </c>
      <c r="H8" s="1">
        <v>626000</v>
      </c>
      <c r="I8" s="1">
        <f>H8-G8</f>
        <v>184922.4062406898</v>
      </c>
    </row>
    <row r="9" spans="1:9" x14ac:dyDescent="0.35">
      <c r="A9">
        <v>41.2973</v>
      </c>
      <c r="B9">
        <v>-0.33650000000000002</v>
      </c>
      <c r="C9">
        <v>2025</v>
      </c>
      <c r="D9">
        <v>2024</v>
      </c>
      <c r="E9" t="s">
        <v>57</v>
      </c>
      <c r="F9" t="s">
        <v>58</v>
      </c>
      <c r="G9" s="1">
        <v>115700</v>
      </c>
      <c r="H9" s="1">
        <v>350000</v>
      </c>
      <c r="I9" s="1">
        <f>H9-G9</f>
        <v>234300</v>
      </c>
    </row>
    <row r="10" spans="1:9" x14ac:dyDescent="0.35">
      <c r="A10">
        <v>38.357599999999998</v>
      </c>
      <c r="B10">
        <v>22.689699999999998</v>
      </c>
      <c r="C10">
        <v>2025</v>
      </c>
      <c r="D10">
        <v>2024</v>
      </c>
      <c r="E10" t="s">
        <v>34</v>
      </c>
      <c r="F10" t="s">
        <v>35</v>
      </c>
      <c r="G10" s="1">
        <v>292800</v>
      </c>
      <c r="H10" s="1">
        <v>660700</v>
      </c>
      <c r="I10" s="1">
        <f>H10-G10</f>
        <v>367900</v>
      </c>
    </row>
    <row r="11" spans="1:9" x14ac:dyDescent="0.35">
      <c r="A11">
        <v>45.226999999999997</v>
      </c>
      <c r="B11">
        <v>9.6377000000000006</v>
      </c>
      <c r="C11">
        <v>2025</v>
      </c>
      <c r="D11">
        <v>2023</v>
      </c>
      <c r="E11" t="s">
        <v>72</v>
      </c>
      <c r="F11" t="s">
        <v>73</v>
      </c>
      <c r="G11" s="1">
        <v>102000</v>
      </c>
      <c r="H11" s="1">
        <v>474170.59129999997</v>
      </c>
      <c r="I11" s="1">
        <f>H11-G11</f>
        <v>372170.59129999997</v>
      </c>
    </row>
    <row r="12" spans="1:9" x14ac:dyDescent="0.35">
      <c r="A12">
        <v>45.026499999999999</v>
      </c>
      <c r="B12">
        <v>11.2522</v>
      </c>
      <c r="C12">
        <v>2025</v>
      </c>
      <c r="D12">
        <v>2023</v>
      </c>
      <c r="E12" t="s">
        <v>66</v>
      </c>
      <c r="F12" t="s">
        <v>67</v>
      </c>
      <c r="G12" s="1">
        <v>114300</v>
      </c>
      <c r="H12" s="1">
        <v>546274.5</v>
      </c>
      <c r="I12" s="1">
        <f>H12-G12</f>
        <v>431974.5</v>
      </c>
    </row>
    <row r="13" spans="1:9" x14ac:dyDescent="0.35">
      <c r="A13">
        <v>43.450319999999998</v>
      </c>
      <c r="B13">
        <v>4.9242999999999997</v>
      </c>
      <c r="C13">
        <v>2025</v>
      </c>
      <c r="D13">
        <v>2024</v>
      </c>
      <c r="E13" t="s">
        <v>63</v>
      </c>
      <c r="F13" t="s">
        <v>61</v>
      </c>
      <c r="G13" s="1">
        <v>107013.71856666671</v>
      </c>
      <c r="H13" s="1">
        <v>626000</v>
      </c>
      <c r="I13" s="1">
        <f>H13-G13</f>
        <v>518986.28143333329</v>
      </c>
    </row>
    <row r="14" spans="1:9" x14ac:dyDescent="0.35">
      <c r="A14">
        <v>45.445799999999998</v>
      </c>
      <c r="B14">
        <v>12.2552</v>
      </c>
      <c r="C14">
        <v>2025</v>
      </c>
      <c r="D14">
        <v>2023</v>
      </c>
      <c r="E14" t="s">
        <v>81</v>
      </c>
      <c r="F14" t="s">
        <v>82</v>
      </c>
      <c r="G14" s="1">
        <v>231800</v>
      </c>
      <c r="H14" s="1">
        <v>753219</v>
      </c>
      <c r="I14" s="1">
        <f>H14-G14</f>
        <v>521419</v>
      </c>
    </row>
    <row r="15" spans="1:9" x14ac:dyDescent="0.35">
      <c r="A15">
        <v>45.162999999999997</v>
      </c>
      <c r="B15">
        <v>7.7504999999999997</v>
      </c>
      <c r="C15">
        <v>2025</v>
      </c>
      <c r="D15">
        <v>2023</v>
      </c>
      <c r="E15" t="s">
        <v>79</v>
      </c>
      <c r="F15" t="s">
        <v>80</v>
      </c>
      <c r="G15" s="1">
        <v>106600</v>
      </c>
      <c r="H15" s="1">
        <v>870829.58900000004</v>
      </c>
      <c r="I15" s="1">
        <f>H15-G15</f>
        <v>764229.58900000004</v>
      </c>
    </row>
    <row r="16" spans="1:9" x14ac:dyDescent="0.35">
      <c r="A16">
        <v>45.520099999999999</v>
      </c>
      <c r="B16">
        <v>8.7422000000000004</v>
      </c>
      <c r="C16">
        <v>2025</v>
      </c>
      <c r="D16">
        <v>2023</v>
      </c>
      <c r="E16" t="s">
        <v>83</v>
      </c>
      <c r="F16" t="s">
        <v>76</v>
      </c>
      <c r="G16" s="1">
        <v>144100</v>
      </c>
      <c r="H16" s="1">
        <v>954808</v>
      </c>
      <c r="I16" s="1">
        <f>H16-G16</f>
        <v>810708</v>
      </c>
    </row>
    <row r="17" spans="1:9" x14ac:dyDescent="0.35">
      <c r="A17">
        <v>45.439799999999998</v>
      </c>
      <c r="B17">
        <v>8.7873900000000003</v>
      </c>
      <c r="C17">
        <v>2025</v>
      </c>
      <c r="D17">
        <v>2023</v>
      </c>
      <c r="E17" t="s">
        <v>74</v>
      </c>
      <c r="F17" t="s">
        <v>75</v>
      </c>
      <c r="G17" s="1">
        <v>126864.05073333329</v>
      </c>
      <c r="H17" s="1">
        <v>947336.80760000006</v>
      </c>
      <c r="I17" s="1">
        <f>H17-G17</f>
        <v>820472.75686666672</v>
      </c>
    </row>
    <row r="18" spans="1:9" x14ac:dyDescent="0.35">
      <c r="A18">
        <v>39.353784709740601</v>
      </c>
      <c r="B18">
        <v>22.986602174056902</v>
      </c>
      <c r="C18">
        <v>2025</v>
      </c>
      <c r="D18">
        <v>2024</v>
      </c>
      <c r="E18" t="s">
        <v>39</v>
      </c>
      <c r="F18" t="s">
        <v>40</v>
      </c>
      <c r="G18" s="1">
        <v>205197.30429999999</v>
      </c>
      <c r="H18" s="1">
        <v>1031000</v>
      </c>
      <c r="I18" s="1">
        <f>H18-G18</f>
        <v>825802.69570000004</v>
      </c>
    </row>
    <row r="19" spans="1:9" x14ac:dyDescent="0.35">
      <c r="A19">
        <v>39.711799999999997</v>
      </c>
      <c r="B19">
        <v>16.215</v>
      </c>
      <c r="C19">
        <v>2025</v>
      </c>
      <c r="D19">
        <v>2023</v>
      </c>
      <c r="E19" t="s">
        <v>41</v>
      </c>
      <c r="F19" t="s">
        <v>42</v>
      </c>
      <c r="G19" s="1">
        <v>131600</v>
      </c>
      <c r="H19" s="1">
        <v>986234</v>
      </c>
      <c r="I19" s="1">
        <f>H19-G19</f>
        <v>854634</v>
      </c>
    </row>
    <row r="20" spans="1:9" x14ac:dyDescent="0.35">
      <c r="A20">
        <v>37.417400000000001</v>
      </c>
      <c r="B20">
        <v>22.107900000000001</v>
      </c>
      <c r="C20">
        <v>2025</v>
      </c>
      <c r="D20">
        <v>2024</v>
      </c>
      <c r="E20" t="s">
        <v>20</v>
      </c>
      <c r="F20" t="s">
        <v>21</v>
      </c>
      <c r="G20" s="1">
        <v>186200</v>
      </c>
      <c r="H20" s="1">
        <v>1091000</v>
      </c>
      <c r="I20" s="1">
        <f>H20-G20</f>
        <v>904800</v>
      </c>
    </row>
    <row r="21" spans="1:9" x14ac:dyDescent="0.35">
      <c r="A21">
        <v>44.864100000000001</v>
      </c>
      <c r="B21">
        <v>11.5944</v>
      </c>
      <c r="C21">
        <v>2025</v>
      </c>
      <c r="D21">
        <v>2023</v>
      </c>
      <c r="E21" t="s">
        <v>64</v>
      </c>
      <c r="F21" t="s">
        <v>65</v>
      </c>
      <c r="G21" s="1">
        <v>131100</v>
      </c>
      <c r="H21" s="1">
        <v>1073856.9620000001</v>
      </c>
      <c r="I21" s="1">
        <f>H21-G21</f>
        <v>942756.96200000006</v>
      </c>
    </row>
    <row r="22" spans="1:9" x14ac:dyDescent="0.35">
      <c r="A22">
        <v>44.993000000000002</v>
      </c>
      <c r="B22">
        <v>7.6755000000000004</v>
      </c>
      <c r="C22">
        <v>2025</v>
      </c>
      <c r="D22">
        <v>2023</v>
      </c>
      <c r="E22" t="s">
        <v>77</v>
      </c>
      <c r="F22" t="s">
        <v>78</v>
      </c>
      <c r="G22" s="1">
        <v>213700</v>
      </c>
      <c r="H22" s="1">
        <v>1185837</v>
      </c>
      <c r="I22" s="1">
        <f>H22-G22</f>
        <v>972137</v>
      </c>
    </row>
    <row r="23" spans="1:9" x14ac:dyDescent="0.35">
      <c r="A23">
        <v>34.980899999999998</v>
      </c>
      <c r="B23">
        <v>33.743899999999996</v>
      </c>
      <c r="C23">
        <v>2025</v>
      </c>
      <c r="D23">
        <v>2023</v>
      </c>
      <c r="E23" t="s">
        <v>10</v>
      </c>
      <c r="F23" t="s">
        <v>11</v>
      </c>
      <c r="G23" s="1">
        <v>110700</v>
      </c>
      <c r="H23" s="1">
        <v>1130000</v>
      </c>
      <c r="I23" s="1">
        <f>H23-G23</f>
        <v>1019300</v>
      </c>
    </row>
    <row r="24" spans="1:9" x14ac:dyDescent="0.35">
      <c r="A24">
        <v>39.952613999999997</v>
      </c>
      <c r="B24">
        <v>-2.666E-3</v>
      </c>
      <c r="C24">
        <v>2025</v>
      </c>
      <c r="D24">
        <v>2024</v>
      </c>
      <c r="E24" t="s">
        <v>32</v>
      </c>
      <c r="F24" t="s">
        <v>33</v>
      </c>
      <c r="G24" s="1">
        <v>101889.14933333331</v>
      </c>
      <c r="H24" s="1">
        <v>1210000</v>
      </c>
      <c r="I24" s="1">
        <f>H24-G24</f>
        <v>1108110.8506666666</v>
      </c>
    </row>
    <row r="25" spans="1:9" x14ac:dyDescent="0.35">
      <c r="A25">
        <v>37.968000000000004</v>
      </c>
      <c r="B25">
        <v>13.7508</v>
      </c>
      <c r="C25">
        <v>2025</v>
      </c>
      <c r="D25">
        <v>2023</v>
      </c>
      <c r="E25" t="s">
        <v>24</v>
      </c>
      <c r="F25" t="s">
        <v>25</v>
      </c>
      <c r="G25" s="1">
        <v>171700</v>
      </c>
      <c r="H25" s="1">
        <v>1299513.32</v>
      </c>
      <c r="I25" s="1">
        <f>H25-G25</f>
        <v>1127813.32</v>
      </c>
    </row>
    <row r="26" spans="1:9" x14ac:dyDescent="0.35">
      <c r="A26">
        <v>45.817</v>
      </c>
      <c r="B26">
        <v>13.289099999999999</v>
      </c>
      <c r="C26">
        <v>2025</v>
      </c>
      <c r="D26">
        <v>2023</v>
      </c>
      <c r="E26" t="s">
        <v>84</v>
      </c>
      <c r="F26" t="s">
        <v>85</v>
      </c>
      <c r="G26" s="1">
        <v>109900</v>
      </c>
      <c r="H26" s="1">
        <v>1268838</v>
      </c>
      <c r="I26" s="1">
        <f>H26-G26</f>
        <v>1158938</v>
      </c>
    </row>
    <row r="27" spans="1:9" x14ac:dyDescent="0.35">
      <c r="A27">
        <v>38.675545</v>
      </c>
      <c r="B27">
        <v>-4.057099</v>
      </c>
      <c r="C27">
        <v>2025</v>
      </c>
      <c r="D27">
        <v>2024</v>
      </c>
      <c r="E27" t="s">
        <v>30</v>
      </c>
      <c r="F27" t="s">
        <v>31</v>
      </c>
      <c r="G27" s="1">
        <v>138939.7490666667</v>
      </c>
      <c r="H27" s="1">
        <v>1300000</v>
      </c>
      <c r="I27" s="1">
        <f>H27-G27</f>
        <v>1161060.2509333333</v>
      </c>
    </row>
    <row r="28" spans="1:9" x14ac:dyDescent="0.35">
      <c r="A28">
        <v>36.185690000000001</v>
      </c>
      <c r="B28">
        <v>-5.3972499999999997</v>
      </c>
      <c r="C28">
        <v>2025</v>
      </c>
      <c r="D28">
        <v>2024</v>
      </c>
      <c r="E28" t="s">
        <v>15</v>
      </c>
      <c r="F28" t="s">
        <v>14</v>
      </c>
      <c r="G28" s="1">
        <v>181794.41940000001</v>
      </c>
      <c r="H28" s="1">
        <v>1420000</v>
      </c>
      <c r="I28" s="1">
        <f>H28-G28</f>
        <v>1238205.5806</v>
      </c>
    </row>
    <row r="29" spans="1:9" x14ac:dyDescent="0.35">
      <c r="A29">
        <v>37.124209999999998</v>
      </c>
      <c r="B29">
        <v>15.2155</v>
      </c>
      <c r="C29">
        <v>2025</v>
      </c>
      <c r="D29">
        <v>2023</v>
      </c>
      <c r="E29" t="s">
        <v>16</v>
      </c>
      <c r="F29" t="s">
        <v>17</v>
      </c>
      <c r="G29" s="1">
        <v>124560.25073333331</v>
      </c>
      <c r="H29" s="1">
        <v>1420855</v>
      </c>
      <c r="I29" s="1">
        <f>H29-G29</f>
        <v>1296294.7492666666</v>
      </c>
    </row>
    <row r="30" spans="1:9" x14ac:dyDescent="0.35">
      <c r="A30">
        <v>45.099850000000004</v>
      </c>
      <c r="B30">
        <v>8.8768200000000004</v>
      </c>
      <c r="C30">
        <v>2025</v>
      </c>
      <c r="D30">
        <v>2023</v>
      </c>
      <c r="E30" t="s">
        <v>68</v>
      </c>
      <c r="F30" t="s">
        <v>69</v>
      </c>
      <c r="G30" s="1">
        <v>114177.64566666671</v>
      </c>
      <c r="H30" s="1">
        <v>1627809</v>
      </c>
      <c r="I30" s="1">
        <f>H30-G30</f>
        <v>1513631.3543333332</v>
      </c>
    </row>
    <row r="31" spans="1:9" x14ac:dyDescent="0.35">
      <c r="A31">
        <v>45.150300000000001</v>
      </c>
      <c r="B31">
        <v>10.834899999999999</v>
      </c>
      <c r="C31">
        <v>2025</v>
      </c>
      <c r="D31">
        <v>2023</v>
      </c>
      <c r="E31" t="s">
        <v>70</v>
      </c>
      <c r="F31" t="s">
        <v>71</v>
      </c>
      <c r="G31" s="1">
        <v>214000</v>
      </c>
      <c r="H31" s="1">
        <v>1844632.196</v>
      </c>
      <c r="I31" s="1">
        <f>H31-G31</f>
        <v>1630632.196</v>
      </c>
    </row>
    <row r="32" spans="1:9" x14ac:dyDescent="0.35">
      <c r="A32">
        <v>34.7271</v>
      </c>
      <c r="B32">
        <v>33.289900000000003</v>
      </c>
      <c r="C32">
        <v>2025</v>
      </c>
      <c r="D32">
        <v>2023</v>
      </c>
      <c r="E32" t="s">
        <v>8</v>
      </c>
      <c r="F32" t="s">
        <v>9</v>
      </c>
      <c r="G32" s="1">
        <v>137900</v>
      </c>
      <c r="H32" s="1">
        <v>1870000</v>
      </c>
      <c r="I32" s="1">
        <f>H32-G32</f>
        <v>1732100</v>
      </c>
    </row>
    <row r="33" spans="1:9" x14ac:dyDescent="0.35">
      <c r="A33">
        <v>41.173628999999998</v>
      </c>
      <c r="B33">
        <v>1.2220340000000001</v>
      </c>
      <c r="C33">
        <v>2025</v>
      </c>
      <c r="D33">
        <v>2023</v>
      </c>
      <c r="E33" t="s">
        <v>55</v>
      </c>
      <c r="F33" t="s">
        <v>56</v>
      </c>
      <c r="G33" s="1">
        <v>172285.2888666667</v>
      </c>
      <c r="H33" s="1">
        <v>2030000</v>
      </c>
      <c r="I33" s="1">
        <f>H33-G33</f>
        <v>1857714.7111333334</v>
      </c>
    </row>
    <row r="34" spans="1:9" x14ac:dyDescent="0.35">
      <c r="A34">
        <v>37.918500000000002</v>
      </c>
      <c r="B34">
        <v>23.075199999999999</v>
      </c>
      <c r="C34">
        <v>2025</v>
      </c>
      <c r="D34">
        <v>2024</v>
      </c>
      <c r="E34" t="s">
        <v>22</v>
      </c>
      <c r="F34" t="s">
        <v>23</v>
      </c>
      <c r="G34" s="1">
        <v>220002.08506666671</v>
      </c>
      <c r="H34" s="1">
        <v>2088000</v>
      </c>
      <c r="I34" s="1">
        <f>H34-G34</f>
        <v>1867997.9149333332</v>
      </c>
    </row>
    <row r="35" spans="1:9" x14ac:dyDescent="0.35">
      <c r="A35">
        <v>37.212670000000003</v>
      </c>
      <c r="B35">
        <v>15.17163</v>
      </c>
      <c r="C35">
        <v>2025</v>
      </c>
      <c r="D35">
        <v>2023</v>
      </c>
      <c r="E35" t="s">
        <v>18</v>
      </c>
      <c r="F35" t="s">
        <v>19</v>
      </c>
      <c r="G35" s="1">
        <v>119564.3056666667</v>
      </c>
      <c r="H35" s="1">
        <v>2034384.4885</v>
      </c>
      <c r="I35" s="1">
        <f>H35-G35</f>
        <v>1914820.1828333333</v>
      </c>
    </row>
    <row r="36" spans="1:9" x14ac:dyDescent="0.35">
      <c r="A36">
        <v>38.032899999999998</v>
      </c>
      <c r="B36">
        <v>23.603999999999999</v>
      </c>
      <c r="C36">
        <v>2025</v>
      </c>
      <c r="D36">
        <v>2024</v>
      </c>
      <c r="E36" t="s">
        <v>26</v>
      </c>
      <c r="F36" t="s">
        <v>27</v>
      </c>
      <c r="G36" s="1">
        <v>132197.6441</v>
      </c>
      <c r="H36" s="1">
        <v>2100000</v>
      </c>
      <c r="I36" s="1">
        <f>H36-G36</f>
        <v>1967802.3559000001</v>
      </c>
    </row>
    <row r="37" spans="1:9" x14ac:dyDescent="0.35">
      <c r="A37">
        <v>38.203409999999998</v>
      </c>
      <c r="B37">
        <v>15.27267</v>
      </c>
      <c r="C37">
        <v>2025</v>
      </c>
      <c r="D37">
        <v>2023</v>
      </c>
      <c r="E37" t="s">
        <v>28</v>
      </c>
      <c r="F37" t="s">
        <v>29</v>
      </c>
      <c r="G37" s="1">
        <v>162650.6776</v>
      </c>
      <c r="H37" s="1">
        <v>2254404</v>
      </c>
      <c r="I37" s="1">
        <f>H37-G37</f>
        <v>2091753.3223999999</v>
      </c>
    </row>
    <row r="38" spans="1:9" x14ac:dyDescent="0.35">
      <c r="A38">
        <v>40.846400000000003</v>
      </c>
      <c r="B38">
        <v>8.3071999999999999</v>
      </c>
      <c r="C38">
        <v>2025</v>
      </c>
      <c r="D38">
        <v>2023</v>
      </c>
      <c r="E38" t="s">
        <v>49</v>
      </c>
      <c r="F38" t="s">
        <v>50</v>
      </c>
      <c r="G38" s="1">
        <v>137000</v>
      </c>
      <c r="H38" s="1">
        <v>2276654</v>
      </c>
      <c r="I38" s="1">
        <f>H38-G38</f>
        <v>2139654</v>
      </c>
    </row>
    <row r="39" spans="1:9" x14ac:dyDescent="0.35">
      <c r="A39">
        <v>40.394199999999998</v>
      </c>
      <c r="B39">
        <v>21.924900000000001</v>
      </c>
      <c r="C39">
        <v>2025</v>
      </c>
      <c r="D39">
        <v>2024</v>
      </c>
      <c r="E39" t="s">
        <v>43</v>
      </c>
      <c r="F39" t="s">
        <v>44</v>
      </c>
      <c r="G39" s="1">
        <v>363200</v>
      </c>
      <c r="H39" s="1">
        <v>2730000</v>
      </c>
      <c r="I39" s="1">
        <f>H39-G39</f>
        <v>2366800</v>
      </c>
    </row>
    <row r="40" spans="1:9" x14ac:dyDescent="0.35">
      <c r="A40">
        <v>46.372300000000003</v>
      </c>
      <c r="B40">
        <v>15.0534</v>
      </c>
      <c r="C40">
        <v>2025</v>
      </c>
      <c r="D40">
        <v>2024</v>
      </c>
      <c r="E40" t="s">
        <v>86</v>
      </c>
      <c r="F40" t="s">
        <v>87</v>
      </c>
      <c r="G40" s="1">
        <v>112700</v>
      </c>
      <c r="H40" s="1">
        <v>3141872</v>
      </c>
      <c r="I40" s="1">
        <f>H40-G40</f>
        <v>3029172</v>
      </c>
    </row>
    <row r="41" spans="1:9" x14ac:dyDescent="0.35">
      <c r="A41">
        <v>39.078400000000002</v>
      </c>
      <c r="B41">
        <v>9.0238999999999994</v>
      </c>
      <c r="C41">
        <v>2025</v>
      </c>
      <c r="D41">
        <v>2023</v>
      </c>
      <c r="E41" t="s">
        <v>38</v>
      </c>
      <c r="F41" t="s">
        <v>37</v>
      </c>
      <c r="G41" s="1">
        <v>282400</v>
      </c>
      <c r="H41" s="1">
        <v>5603436.9843000006</v>
      </c>
      <c r="I41" s="1">
        <f>H41-G41</f>
        <v>5321036.9843000006</v>
      </c>
    </row>
    <row r="42" spans="1:9" x14ac:dyDescent="0.35">
      <c r="A42">
        <v>39.07734</v>
      </c>
      <c r="B42">
        <v>9.0183999999999997</v>
      </c>
      <c r="C42">
        <v>2025</v>
      </c>
      <c r="D42">
        <v>2023</v>
      </c>
      <c r="E42" t="s">
        <v>36</v>
      </c>
      <c r="F42" t="s">
        <v>37</v>
      </c>
      <c r="G42" s="1">
        <v>232260.26293333329</v>
      </c>
      <c r="H42" s="1">
        <v>5603436.9843000006</v>
      </c>
      <c r="I42" s="1">
        <f>H42-G42</f>
        <v>5371176.7213666672</v>
      </c>
    </row>
  </sheetData>
  <sortState xmlns:xlrd2="http://schemas.microsoft.com/office/spreadsheetml/2017/richdata2" ref="A2:I42">
    <sortCondition ref="I2:I42"/>
  </sortState>
  <conditionalFormatting sqref="I1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{19FD0229-C64F-45A1-A46A-79BF011B12AA}</x14:id>
        </ext>
      </extLst>
    </cfRule>
  </conditionalFormatting>
  <conditionalFormatting sqref="E1:E1048576">
    <cfRule type="duplicateValues" dxfId="0" priority="1"/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FD0229-C64F-45A1-A46A-79BF011B1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Wongsuvapich, D. (Dutkamon)</cp:lastModifiedBy>
  <dcterms:created xsi:type="dcterms:W3CDTF">2026-02-03T17:03:55Z</dcterms:created>
  <dcterms:modified xsi:type="dcterms:W3CDTF">2026-02-03T20:46:17Z</dcterms:modified>
</cp:coreProperties>
</file>